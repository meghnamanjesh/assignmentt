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242AA6A-3F67-41A8-8E26-869456871CE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</calcChain>
</file>

<file path=xl/sharedStrings.xml><?xml version="1.0" encoding="utf-8"?>
<sst xmlns="http://schemas.openxmlformats.org/spreadsheetml/2006/main" count="152" uniqueCount="116">
  <si>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</si>
  <si>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</si>
  <si>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</si>
  <si>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</si>
  <si>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</si>
  <si>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</si>
  <si>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</si>
  <si>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</si>
  <si>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</si>
  <si>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</si>
  <si>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</si>
  <si>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</si>
  <si>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</si>
  <si>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</si>
  <si>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</si>
  <si>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</si>
  <si>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</si>
  <si>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</si>
  <si>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</si>
  <si>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</si>
  <si>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</si>
  <si>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</si>
  <si>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</si>
  <si>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</si>
  <si>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</si>
  <si>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</si>
  <si>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</si>
  <si>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</si>
  <si>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</si>
  <si>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</si>
  <si>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</si>
  <si>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</si>
  <si>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</si>
  <si>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</si>
  <si>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</si>
  <si>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</si>
  <si>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</si>
  <si>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</si>
  <si>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</si>
  <si>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</si>
  <si>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</si>
  <si>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</si>
  <si>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</si>
  <si>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</si>
  <si>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</si>
  <si>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</si>
  <si>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</si>
  <si>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</si>
  <si>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</si>
  <si>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</si>
  <si>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</si>
  <si>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</si>
  <si>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</si>
  <si>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</si>
  <si>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</si>
  <si>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</si>
  <si>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</si>
  <si>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</si>
  <si>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</si>
  <si>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</si>
  <si>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</si>
  <si>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</si>
  <si>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</si>
  <si>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</si>
  <si>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</si>
  <si>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</si>
  <si>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</si>
  <si>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</si>
  <si>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</si>
  <si>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</si>
  <si>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</si>
  <si>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</si>
  <si>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</si>
  <si>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</si>
  <si>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</si>
  <si>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</si>
  <si>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</si>
  <si>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</si>
  <si>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</si>
  <si>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</si>
  <si>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</si>
  <si>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</si>
  <si>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</si>
  <si>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</si>
  <si>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</si>
  <si>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</si>
  <si>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</si>
  <si>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</si>
  <si>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</si>
  <si>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</si>
  <si>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</si>
  <si>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</si>
  <si>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</si>
  <si>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</si>
  <si>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</si>
  <si>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</si>
  <si>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</si>
  <si>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</si>
  <si>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</si>
  <si>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</si>
  <si>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</si>
  <si>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</si>
  <si>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</si>
  <si>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</si>
  <si>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</si>
  <si>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</si>
  <si>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</si>
  <si>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</si>
  <si>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</si>
  <si>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</si>
  <si>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</si>
  <si>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</si>
  <si>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Fitness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</si>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</sst>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4" fontId="7" fillId="2" borderId="0" xfId="0" applyNumberFormat="1" applyFont="1" applyFill="1" applyAlignment="1">
      <alignment horizontal="center"/>
    </xf>
    <xf numFmtId="14" fontId="0" fillId="0" borderId="0" xfId="0" applyNumberFormat="1"/>
    <xf numFmtId="0" fontId="8" fillId="0" borderId="0" xfId="0" applyFont="1"/>
    <xf numFmtId="0" fontId="9" fillId="2" borderId="0" xfId="0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3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>
      <selection activeCell="J4" sqref="J4"/>
    </sheetView>
  </sheetViews>
  <sheetFormatPr defaultColWidth="12.6640625" defaultRowHeight="15" customHeight="1" x14ac:dyDescent="0.25"/>
  <cols>
    <col min="1" max="3" width="12.6640625" customWidth="1"/>
    <col min="4" max="4" width="12.6640625" style="16" customWidth="1"/>
    <col min="5" max="6" width="12.6640625" customWidth="1"/>
    <col min="7" max="7" width="20.21875" style="10" customWidth="1"/>
    <col min="8" max="8" width="14.33203125" customWidth="1"/>
    <col min="9" max="9" width="22.10937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13" t="s">
        <v>22</v>
      </c>
      <c r="E1" s="7" t="s">
        <v>23</v>
      </c>
      <c r="F1" s="7" t="s">
        <v>24</v>
      </c>
      <c r="G1" s="9" t="s">
        <v>113</v>
      </c>
      <c r="H1" s="7" t="s">
        <v>114</v>
      </c>
      <c r="I1" s="12" t="s">
        <v>115</v>
      </c>
    </row>
    <row r="2" spans="1:16" ht="15.75" customHeight="1" x14ac:dyDescent="0.25">
      <c r="A2" s="5" t="s">
        <v>25</v>
      </c>
      <c r="B2" s="5" t="s">
        <v>58</v>
      </c>
      <c r="C2" s="5" t="s">
        <v>26</v>
      </c>
      <c r="D2" s="14">
        <v>1000</v>
      </c>
      <c r="E2" s="5">
        <v>30</v>
      </c>
      <c r="F2" s="5" t="s">
        <v>27</v>
      </c>
      <c r="G2" s="10">
        <f>DATEVALUE(LEFT(A2,6))</f>
        <v>46050</v>
      </c>
      <c r="H2" t="str">
        <f>RIGHT(A2,2)</f>
        <v>US</v>
      </c>
      <c r="I2" s="11" t="str">
        <f>B2&amp;" - "&amp;C2</f>
        <v>Laptop - Dell</v>
      </c>
    </row>
    <row r="3" spans="1:16" ht="15.75" customHeight="1" x14ac:dyDescent="0.25">
      <c r="A3" s="8" t="s">
        <v>28</v>
      </c>
      <c r="B3" s="8" t="s">
        <v>29</v>
      </c>
      <c r="C3" s="8" t="s">
        <v>30</v>
      </c>
      <c r="D3" s="15">
        <v>80</v>
      </c>
      <c r="E3" s="8">
        <v>15</v>
      </c>
      <c r="F3" s="8" t="s">
        <v>31</v>
      </c>
      <c r="G3" s="10">
        <f t="shared" ref="G3:G32" si="0">DATEVALUE(LEFT(A3,6))</f>
        <v>46068</v>
      </c>
      <c r="H3" t="str">
        <f t="shared" ref="H3:H32" si="1">RIGHT(A3,2)</f>
        <v>US</v>
      </c>
      <c r="I3" s="11" t="str">
        <f t="shared" ref="I3:I32" si="2">B3&amp;" - "&amp;C3</f>
        <v>Sneakers - Nike</v>
      </c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32</v>
      </c>
      <c r="B4" s="5" t="s">
        <v>33</v>
      </c>
      <c r="C4" s="5" t="s">
        <v>34</v>
      </c>
      <c r="D4" s="14">
        <v>130</v>
      </c>
      <c r="E4" s="5">
        <v>40</v>
      </c>
      <c r="F4" s="5" t="s">
        <v>35</v>
      </c>
      <c r="G4" s="10">
        <f t="shared" si="0"/>
        <v>46084</v>
      </c>
      <c r="H4" t="str">
        <f t="shared" si="1"/>
        <v>US</v>
      </c>
      <c r="I4" s="11" t="str">
        <f t="shared" si="2"/>
        <v>Coffee Maker - Keurig</v>
      </c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36</v>
      </c>
      <c r="B5" s="8" t="s">
        <v>92</v>
      </c>
      <c r="C5" s="8" t="s">
        <v>37</v>
      </c>
      <c r="D5" s="15">
        <v>900</v>
      </c>
      <c r="E5" s="8">
        <v>25</v>
      </c>
      <c r="F5" s="8" t="s">
        <v>27</v>
      </c>
      <c r="G5" s="10">
        <f t="shared" si="0"/>
        <v>46123</v>
      </c>
      <c r="H5" t="str">
        <f t="shared" si="1"/>
        <v>US</v>
      </c>
      <c r="I5" s="11" t="str">
        <f t="shared" si="2"/>
        <v>Smartphone - Samsung</v>
      </c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38</v>
      </c>
      <c r="B6" s="5" t="s">
        <v>39</v>
      </c>
      <c r="C6" s="5" t="s">
        <v>40</v>
      </c>
      <c r="D6" s="14">
        <v>70</v>
      </c>
      <c r="E6" s="5">
        <v>20</v>
      </c>
      <c r="F6" s="5" t="s">
        <v>71</v>
      </c>
      <c r="G6" s="10">
        <f t="shared" si="0"/>
        <v>46164</v>
      </c>
      <c r="H6" t="str">
        <f t="shared" si="1"/>
        <v>US</v>
      </c>
      <c r="I6" s="11" t="str">
        <f t="shared" si="2"/>
        <v>Backpack - North Face</v>
      </c>
    </row>
    <row r="7" spans="1:16" ht="15.75" customHeight="1" x14ac:dyDescent="0.25">
      <c r="A7" s="8" t="s">
        <v>41</v>
      </c>
      <c r="B7" s="8" t="s">
        <v>42</v>
      </c>
      <c r="C7" s="8" t="s">
        <v>43</v>
      </c>
      <c r="D7" s="15"/>
      <c r="E7" s="8">
        <v>45</v>
      </c>
      <c r="F7" s="8" t="s">
        <v>27</v>
      </c>
      <c r="G7" s="10">
        <f t="shared" si="0"/>
        <v>46180</v>
      </c>
      <c r="H7" t="str">
        <f t="shared" si="1"/>
        <v>UK</v>
      </c>
      <c r="I7" s="11" t="str">
        <f t="shared" si="2"/>
        <v>Headphones - Sony</v>
      </c>
    </row>
    <row r="8" spans="1:16" ht="15.75" customHeight="1" x14ac:dyDescent="0.25">
      <c r="A8" s="5" t="s">
        <v>44</v>
      </c>
      <c r="B8" s="5" t="s">
        <v>45</v>
      </c>
      <c r="C8" s="5" t="s">
        <v>46</v>
      </c>
      <c r="D8" s="14">
        <v>30</v>
      </c>
      <c r="E8" s="5">
        <v>5</v>
      </c>
      <c r="F8" s="5" t="s">
        <v>31</v>
      </c>
      <c r="G8" s="10">
        <f t="shared" si="0"/>
        <v>46222</v>
      </c>
      <c r="H8" t="str">
        <f t="shared" si="1"/>
        <v>UK</v>
      </c>
      <c r="I8" s="11" t="str">
        <f t="shared" si="2"/>
        <v>T-shirt - Adidas</v>
      </c>
    </row>
    <row r="9" spans="1:16" ht="15.75" customHeight="1" x14ac:dyDescent="0.25">
      <c r="A9" s="8" t="s">
        <v>47</v>
      </c>
      <c r="B9" s="8" t="s">
        <v>48</v>
      </c>
      <c r="C9" s="8" t="s">
        <v>49</v>
      </c>
      <c r="D9" s="15">
        <v>90</v>
      </c>
      <c r="E9" s="8">
        <v>35</v>
      </c>
      <c r="F9" s="8" t="s">
        <v>35</v>
      </c>
      <c r="G9" s="10">
        <f t="shared" si="0"/>
        <v>46257</v>
      </c>
      <c r="H9" t="str">
        <f t="shared" si="1"/>
        <v>UK</v>
      </c>
      <c r="I9" s="11" t="str">
        <f t="shared" si="2"/>
        <v>Blender - Ninja</v>
      </c>
    </row>
    <row r="10" spans="1:16" ht="15.75" customHeight="1" x14ac:dyDescent="0.25">
      <c r="A10" s="5" t="s">
        <v>50</v>
      </c>
      <c r="B10" s="5" t="s">
        <v>51</v>
      </c>
      <c r="C10" s="5" t="s">
        <v>52</v>
      </c>
      <c r="D10" s="14">
        <v>500</v>
      </c>
      <c r="E10" s="5">
        <v>50</v>
      </c>
      <c r="F10" s="5" t="s">
        <v>27</v>
      </c>
      <c r="G10" s="10">
        <f t="shared" si="0"/>
        <v>46270</v>
      </c>
      <c r="H10" t="str">
        <f t="shared" si="1"/>
        <v>UK</v>
      </c>
      <c r="I10" s="11" t="str">
        <f t="shared" si="2"/>
        <v>Tablet - Apple</v>
      </c>
    </row>
    <row r="11" spans="1:16" ht="15.75" customHeight="1" x14ac:dyDescent="0.25">
      <c r="A11" s="8" t="s">
        <v>53</v>
      </c>
      <c r="B11" s="8" t="s">
        <v>54</v>
      </c>
      <c r="C11" s="8" t="s">
        <v>55</v>
      </c>
      <c r="D11" s="15">
        <v>130</v>
      </c>
      <c r="E11" s="8">
        <v>10</v>
      </c>
      <c r="F11" s="8" t="s">
        <v>56</v>
      </c>
      <c r="G11" s="10">
        <f t="shared" si="0"/>
        <v>46309</v>
      </c>
      <c r="H11" t="str">
        <f t="shared" si="1"/>
        <v>UK</v>
      </c>
      <c r="I11" s="11" t="str">
        <f t="shared" si="2"/>
        <v>Hiking Boots - Timberland</v>
      </c>
    </row>
    <row r="12" spans="1:16" ht="15.75" customHeight="1" x14ac:dyDescent="0.25">
      <c r="A12" s="5" t="s">
        <v>57</v>
      </c>
      <c r="B12" s="5" t="s">
        <v>58</v>
      </c>
      <c r="C12" s="5" t="s">
        <v>59</v>
      </c>
      <c r="D12" s="14">
        <v>950</v>
      </c>
      <c r="E12" s="5">
        <v>25</v>
      </c>
      <c r="F12" s="5" t="s">
        <v>27</v>
      </c>
      <c r="G12" s="10">
        <f t="shared" si="0"/>
        <v>46190</v>
      </c>
      <c r="H12" t="str">
        <f t="shared" si="1"/>
        <v>IN</v>
      </c>
      <c r="I12" s="11" t="str">
        <f t="shared" si="2"/>
        <v>Laptop - HP</v>
      </c>
    </row>
    <row r="13" spans="1:16" ht="15.75" customHeight="1" x14ac:dyDescent="0.25">
      <c r="A13" s="8" t="s">
        <v>60</v>
      </c>
      <c r="B13" s="8" t="s">
        <v>29</v>
      </c>
      <c r="C13" s="8" t="s">
        <v>46</v>
      </c>
      <c r="D13" s="15">
        <v>90</v>
      </c>
      <c r="E13" s="8">
        <v>40</v>
      </c>
      <c r="F13" s="8" t="s">
        <v>31</v>
      </c>
      <c r="G13" s="10">
        <f t="shared" si="0"/>
        <v>46351</v>
      </c>
      <c r="H13" t="str">
        <f t="shared" si="1"/>
        <v>AU</v>
      </c>
      <c r="I13" s="11" t="str">
        <f t="shared" si="2"/>
        <v>Sneakers - Adidas</v>
      </c>
    </row>
    <row r="14" spans="1:16" ht="15.75" customHeight="1" x14ac:dyDescent="0.25">
      <c r="A14" s="5" t="s">
        <v>61</v>
      </c>
      <c r="B14" s="5" t="s">
        <v>33</v>
      </c>
      <c r="C14" s="5" t="s">
        <v>62</v>
      </c>
      <c r="D14" s="14">
        <v>120</v>
      </c>
      <c r="E14" s="5">
        <v>35</v>
      </c>
      <c r="F14" s="5" t="s">
        <v>35</v>
      </c>
      <c r="G14" s="10">
        <f t="shared" si="0"/>
        <v>46364</v>
      </c>
      <c r="H14" t="str">
        <f t="shared" si="1"/>
        <v>DE</v>
      </c>
      <c r="I14" s="11" t="str">
        <f t="shared" si="2"/>
        <v>Coffee Maker - Nespresso</v>
      </c>
    </row>
    <row r="15" spans="1:16" ht="15.75" customHeight="1" x14ac:dyDescent="0.25">
      <c r="A15" s="8" t="s">
        <v>63</v>
      </c>
      <c r="B15" s="8" t="s">
        <v>64</v>
      </c>
      <c r="C15" s="8" t="s">
        <v>65</v>
      </c>
      <c r="D15" s="15">
        <v>150</v>
      </c>
      <c r="E15" s="8">
        <v>15</v>
      </c>
      <c r="F15" s="8" t="s">
        <v>27</v>
      </c>
      <c r="G15" s="10">
        <f t="shared" si="0"/>
        <v>46071</v>
      </c>
      <c r="H15" t="str">
        <f t="shared" si="1"/>
        <v>CA</v>
      </c>
      <c r="I15" s="11" t="str">
        <f t="shared" si="2"/>
        <v>Smartwatch - Fitbit</v>
      </c>
    </row>
    <row r="16" spans="1:16" ht="15.75" customHeight="1" x14ac:dyDescent="0.25">
      <c r="A16" s="5" t="s">
        <v>66</v>
      </c>
      <c r="B16" s="5" t="s">
        <v>42</v>
      </c>
      <c r="C16" s="5" t="s">
        <v>67</v>
      </c>
      <c r="D16" s="14">
        <v>250</v>
      </c>
      <c r="E16" s="5">
        <v>20</v>
      </c>
      <c r="F16" s="5" t="s">
        <v>27</v>
      </c>
      <c r="G16" s="10">
        <f t="shared" si="0"/>
        <v>46128</v>
      </c>
      <c r="H16" t="str">
        <f t="shared" si="1"/>
        <v>ES</v>
      </c>
      <c r="I16" s="11" t="str">
        <f t="shared" si="2"/>
        <v>Headphones - Bose</v>
      </c>
    </row>
    <row r="17" spans="1:9" ht="15.75" customHeight="1" x14ac:dyDescent="0.25">
      <c r="A17" s="8" t="s">
        <v>68</v>
      </c>
      <c r="B17" s="8" t="s">
        <v>69</v>
      </c>
      <c r="C17" s="8" t="s">
        <v>70</v>
      </c>
      <c r="D17" s="15">
        <v>50</v>
      </c>
      <c r="E17" s="8">
        <v>35</v>
      </c>
      <c r="F17" s="8" t="s">
        <v>71</v>
      </c>
      <c r="G17" s="10">
        <f t="shared" si="0"/>
        <v>46255</v>
      </c>
      <c r="H17" t="str">
        <f t="shared" si="1"/>
        <v>CA</v>
      </c>
      <c r="I17" s="11" t="str">
        <f t="shared" si="2"/>
        <v>Laptop Bag - Samsonite</v>
      </c>
    </row>
    <row r="18" spans="1:9" ht="15.75" customHeight="1" x14ac:dyDescent="0.25">
      <c r="A18" s="5" t="s">
        <v>72</v>
      </c>
      <c r="B18" s="5" t="s">
        <v>64</v>
      </c>
      <c r="C18" s="5" t="s">
        <v>73</v>
      </c>
      <c r="D18" s="14">
        <v>160</v>
      </c>
      <c r="E18" s="5">
        <v>15</v>
      </c>
      <c r="F18" s="5" t="s">
        <v>27</v>
      </c>
      <c r="G18" s="10">
        <f t="shared" si="0"/>
        <v>46254</v>
      </c>
      <c r="H18" t="str">
        <f t="shared" si="1"/>
        <v>CN</v>
      </c>
      <c r="I18" s="11" t="str">
        <f t="shared" si="2"/>
        <v>Smartwatch - Huawei</v>
      </c>
    </row>
    <row r="19" spans="1:9" ht="15.75" customHeight="1" x14ac:dyDescent="0.25">
      <c r="A19" s="8" t="s">
        <v>74</v>
      </c>
      <c r="B19" s="8" t="s">
        <v>58</v>
      </c>
      <c r="C19" s="8" t="s">
        <v>75</v>
      </c>
      <c r="D19" s="15">
        <v>980</v>
      </c>
      <c r="E19" s="8">
        <v>10</v>
      </c>
      <c r="F19" s="8" t="s">
        <v>27</v>
      </c>
      <c r="G19" s="10">
        <f t="shared" si="0"/>
        <v>46049</v>
      </c>
      <c r="H19" t="str">
        <f t="shared" si="1"/>
        <v>IT</v>
      </c>
      <c r="I19" s="11" t="str">
        <f t="shared" si="2"/>
        <v>Laptop - Asus</v>
      </c>
    </row>
    <row r="20" spans="1:9" ht="15.75" customHeight="1" x14ac:dyDescent="0.25">
      <c r="A20" s="5" t="s">
        <v>76</v>
      </c>
      <c r="B20" s="5" t="s">
        <v>77</v>
      </c>
      <c r="C20" s="5" t="s">
        <v>78</v>
      </c>
      <c r="D20" s="14">
        <v>150</v>
      </c>
      <c r="E20" s="5">
        <v>15</v>
      </c>
      <c r="F20" s="5" t="s">
        <v>31</v>
      </c>
      <c r="G20" s="10">
        <f t="shared" si="0"/>
        <v>46082</v>
      </c>
      <c r="H20" t="str">
        <f t="shared" si="1"/>
        <v>UK</v>
      </c>
      <c r="I20" s="11" t="str">
        <f t="shared" si="2"/>
        <v>Sunglasses - Oakley</v>
      </c>
    </row>
    <row r="21" spans="1:9" ht="15.75" customHeight="1" x14ac:dyDescent="0.25">
      <c r="A21" s="8" t="s">
        <v>79</v>
      </c>
      <c r="B21" s="8" t="s">
        <v>80</v>
      </c>
      <c r="C21" s="8" t="s">
        <v>81</v>
      </c>
      <c r="D21" s="15"/>
      <c r="E21" s="8">
        <v>10</v>
      </c>
      <c r="F21" s="8" t="s">
        <v>56</v>
      </c>
      <c r="G21" s="10">
        <f t="shared" si="0"/>
        <v>46248</v>
      </c>
      <c r="H21" t="str">
        <f t="shared" si="1"/>
        <v>US</v>
      </c>
      <c r="I21" s="11" t="str">
        <f t="shared" si="2"/>
        <v>Camping Tent - Coleman</v>
      </c>
    </row>
    <row r="22" spans="1:9" ht="15.75" customHeight="1" x14ac:dyDescent="0.25">
      <c r="A22" s="5" t="s">
        <v>82</v>
      </c>
      <c r="B22" s="5" t="s">
        <v>83</v>
      </c>
      <c r="C22" s="5" t="s">
        <v>84</v>
      </c>
      <c r="D22" s="14">
        <v>700</v>
      </c>
      <c r="E22" s="5">
        <v>50</v>
      </c>
      <c r="F22" s="5" t="s">
        <v>27</v>
      </c>
      <c r="G22" s="10">
        <f t="shared" si="0"/>
        <v>46156</v>
      </c>
      <c r="H22" t="str">
        <f t="shared" si="1"/>
        <v>RU</v>
      </c>
      <c r="I22" s="11" t="str">
        <f t="shared" si="2"/>
        <v>Camera - Nikon</v>
      </c>
    </row>
    <row r="23" spans="1:9" ht="15.75" customHeight="1" x14ac:dyDescent="0.25">
      <c r="A23" s="8" t="s">
        <v>85</v>
      </c>
      <c r="B23" s="8" t="s">
        <v>86</v>
      </c>
      <c r="C23" s="8" t="s">
        <v>87</v>
      </c>
      <c r="D23" s="15">
        <v>80</v>
      </c>
      <c r="E23" s="8">
        <v>20</v>
      </c>
      <c r="F23" s="8" t="s">
        <v>35</v>
      </c>
      <c r="G23" s="10">
        <f t="shared" si="0"/>
        <v>46031</v>
      </c>
      <c r="H23" t="str">
        <f t="shared" si="1"/>
        <v>CA</v>
      </c>
      <c r="I23" s="11" t="str">
        <f t="shared" si="2"/>
        <v>Microwave - Panasonic</v>
      </c>
    </row>
    <row r="24" spans="1:9" ht="15.75" customHeight="1" x14ac:dyDescent="0.25">
      <c r="A24" s="5" t="s">
        <v>88</v>
      </c>
      <c r="B24" s="5" t="s">
        <v>89</v>
      </c>
      <c r="C24" s="5" t="s">
        <v>90</v>
      </c>
      <c r="D24" s="14">
        <v>150</v>
      </c>
      <c r="E24" s="5">
        <v>30</v>
      </c>
      <c r="F24" s="5" t="s">
        <v>112</v>
      </c>
      <c r="G24" s="10">
        <f t="shared" si="0"/>
        <v>46222</v>
      </c>
      <c r="H24" t="str">
        <f t="shared" si="1"/>
        <v>BR</v>
      </c>
      <c r="I24" s="11" t="str">
        <f t="shared" si="2"/>
        <v>Fitness Tracker - Xiaomi</v>
      </c>
    </row>
    <row r="25" spans="1:9" ht="15.75" customHeight="1" x14ac:dyDescent="0.25">
      <c r="A25" s="5" t="s">
        <v>91</v>
      </c>
      <c r="B25" s="5" t="s">
        <v>92</v>
      </c>
      <c r="C25" s="5" t="s">
        <v>93</v>
      </c>
      <c r="D25" s="14">
        <v>800</v>
      </c>
      <c r="E25" s="5">
        <v>45</v>
      </c>
      <c r="F25" s="5" t="s">
        <v>27</v>
      </c>
      <c r="G25" s="10">
        <f t="shared" si="0"/>
        <v>46294</v>
      </c>
      <c r="H25" t="str">
        <f t="shared" si="1"/>
        <v>CA</v>
      </c>
      <c r="I25" s="11" t="str">
        <f t="shared" si="2"/>
        <v>Smartphone - Google</v>
      </c>
    </row>
    <row r="26" spans="1:9" ht="15.75" customHeight="1" x14ac:dyDescent="0.25">
      <c r="A26" s="8" t="s">
        <v>94</v>
      </c>
      <c r="B26" s="8" t="s">
        <v>77</v>
      </c>
      <c r="C26" s="8" t="s">
        <v>95</v>
      </c>
      <c r="D26" s="15"/>
      <c r="E26" s="8">
        <v>25</v>
      </c>
      <c r="F26" s="8" t="s">
        <v>31</v>
      </c>
      <c r="G26" s="10">
        <f t="shared" si="0"/>
        <v>46176</v>
      </c>
      <c r="H26" t="str">
        <f t="shared" si="1"/>
        <v>CA</v>
      </c>
      <c r="I26" s="11" t="str">
        <f t="shared" si="2"/>
        <v>Sunglasses - Ray-Ban</v>
      </c>
    </row>
    <row r="27" spans="1:9" ht="15.75" customHeight="1" x14ac:dyDescent="0.25">
      <c r="A27" s="5" t="s">
        <v>96</v>
      </c>
      <c r="B27" s="5" t="s">
        <v>48</v>
      </c>
      <c r="C27" s="5" t="s">
        <v>97</v>
      </c>
      <c r="D27" s="14">
        <v>400</v>
      </c>
      <c r="E27" s="5">
        <v>40</v>
      </c>
      <c r="F27" s="5" t="s">
        <v>35</v>
      </c>
      <c r="G27" s="10">
        <f t="shared" si="0"/>
        <v>46214</v>
      </c>
      <c r="H27" t="str">
        <f t="shared" si="1"/>
        <v>CA</v>
      </c>
      <c r="I27" s="11" t="str">
        <f t="shared" si="2"/>
        <v>Blender - Vitamix</v>
      </c>
    </row>
    <row r="28" spans="1:9" ht="15.75" customHeight="1" x14ac:dyDescent="0.25">
      <c r="A28" s="5" t="s">
        <v>98</v>
      </c>
      <c r="B28" s="5" t="s">
        <v>99</v>
      </c>
      <c r="C28" s="5" t="s">
        <v>100</v>
      </c>
      <c r="D28" s="14">
        <v>60</v>
      </c>
      <c r="E28" s="5">
        <v>30</v>
      </c>
      <c r="F28" s="5" t="s">
        <v>31</v>
      </c>
      <c r="G28" s="10">
        <f t="shared" si="0"/>
        <v>46088</v>
      </c>
      <c r="H28" t="str">
        <f t="shared" si="1"/>
        <v>CA</v>
      </c>
      <c r="I28" s="11" t="str">
        <f t="shared" si="2"/>
        <v>Dress - Zara</v>
      </c>
    </row>
    <row r="29" spans="1:9" ht="15.75" customHeight="1" x14ac:dyDescent="0.25">
      <c r="A29" s="8" t="s">
        <v>101</v>
      </c>
      <c r="B29" s="8" t="s">
        <v>102</v>
      </c>
      <c r="C29" s="8" t="s">
        <v>103</v>
      </c>
      <c r="D29" s="15">
        <v>40</v>
      </c>
      <c r="E29" s="8">
        <v>10</v>
      </c>
      <c r="F29" s="8" t="s">
        <v>35</v>
      </c>
      <c r="G29" s="10">
        <f t="shared" si="0"/>
        <v>46125</v>
      </c>
      <c r="H29" t="str">
        <f t="shared" si="1"/>
        <v>CA</v>
      </c>
      <c r="I29" s="11" t="str">
        <f t="shared" si="2"/>
        <v>Toaster - Hamilton</v>
      </c>
    </row>
    <row r="30" spans="1:9" ht="15.75" customHeight="1" x14ac:dyDescent="0.25">
      <c r="A30" s="5" t="s">
        <v>104</v>
      </c>
      <c r="B30" s="5" t="s">
        <v>89</v>
      </c>
      <c r="C30" s="5" t="s">
        <v>105</v>
      </c>
      <c r="D30" s="14">
        <v>130</v>
      </c>
      <c r="E30" s="5">
        <v>5</v>
      </c>
      <c r="F30" s="5" t="s">
        <v>27</v>
      </c>
      <c r="G30" s="10">
        <f t="shared" si="0"/>
        <v>46166</v>
      </c>
      <c r="H30" t="str">
        <f t="shared" si="1"/>
        <v>CA</v>
      </c>
      <c r="I30" s="11" t="str">
        <f t="shared" si="2"/>
        <v>Fitness Tracker - Garmin</v>
      </c>
    </row>
    <row r="31" spans="1:9" ht="15.75" customHeight="1" x14ac:dyDescent="0.25">
      <c r="A31" s="8" t="s">
        <v>106</v>
      </c>
      <c r="B31" s="8" t="s">
        <v>107</v>
      </c>
      <c r="C31" s="8" t="s">
        <v>108</v>
      </c>
      <c r="D31" s="15">
        <v>50</v>
      </c>
      <c r="E31" s="8">
        <v>50</v>
      </c>
      <c r="F31" s="8" t="s">
        <v>31</v>
      </c>
      <c r="G31" s="10">
        <f t="shared" si="0"/>
        <v>46358</v>
      </c>
      <c r="H31" t="str">
        <f t="shared" si="1"/>
        <v>CA</v>
      </c>
      <c r="I31" s="11" t="str">
        <f t="shared" si="2"/>
        <v>Jeans - Levi's</v>
      </c>
    </row>
    <row r="32" spans="1:9" ht="15.75" customHeight="1" x14ac:dyDescent="0.25">
      <c r="A32" s="8" t="s">
        <v>109</v>
      </c>
      <c r="B32" s="8" t="s">
        <v>110</v>
      </c>
      <c r="C32" s="8" t="s">
        <v>111</v>
      </c>
      <c r="D32" s="15">
        <v>100</v>
      </c>
      <c r="E32" s="8">
        <v>20</v>
      </c>
      <c r="F32" s="8" t="s">
        <v>71</v>
      </c>
      <c r="G32" s="10">
        <f t="shared" si="0"/>
        <v>46212</v>
      </c>
      <c r="H32" t="str">
        <f t="shared" si="1"/>
        <v>FR</v>
      </c>
      <c r="I32" s="11" t="str">
        <f t="shared" si="2"/>
        <v>Watch - Casio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1:D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{72126DB2-4AB8-4FDD-A023-36DE90B0AAB1}</x14:id>
        </ext>
      </extLst>
    </cfRule>
  </conditionalFormatting>
  <conditionalFormatting sqref="F2:F32">
    <cfRule type="cellIs" dxfId="0" priority="1" operator="equal">
      <formula>"Electronics"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126DB2-4AB8-4FDD-A023-36DE90B0AA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Parveen Dattu</dc:creator>
  <cp:lastModifiedBy>Parveen Dattu</cp:lastModifiedBy>
  <dcterms:created xsi:type="dcterms:W3CDTF">2026-08-25T15:21:20Z</dcterms:created>
  <dcterms:modified xsi:type="dcterms:W3CDTF">2026-08-26T14:29:32Z</dcterms:modified>
</cp:coreProperties>
</file>